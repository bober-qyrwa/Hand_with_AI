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ВСОШ\К муниципу\"/>
    </mc:Choice>
  </mc:AlternateContent>
  <xr:revisionPtr revIDLastSave="0" documentId="8_{B1524D6F-F7B1-4020-9BBF-11F04A06E5F5}" xr6:coauthVersionLast="47" xr6:coauthVersionMax="47" xr10:uidLastSave="{00000000-0000-0000-0000-000000000000}"/>
  <bookViews>
    <workbookView xWindow="-108" yWindow="-108" windowWidth="23256" windowHeight="12456" xr2:uid="{444F6A9A-7185-4254-9059-3D75E06768F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<sst xmlns="http://schemas.openxmlformats.org/spreadsheetml/2006/main" count="26" uniqueCount="16">
  <si>
    <t>Наименование</t>
  </si>
  <si>
    <t>Кол-во</t>
  </si>
  <si>
    <t>Цена</t>
  </si>
  <si>
    <t>Сумма</t>
  </si>
  <si>
    <t>Ссылка</t>
  </si>
  <si>
    <t>PETG черный пластик для 3d печати</t>
  </si>
  <si>
    <t>Шнур эластичный 3 мм. 10 м</t>
  </si>
  <si>
    <t>Сервопривод SG 90</t>
  </si>
  <si>
    <t>Сервопривод постоянного вращения MG996</t>
  </si>
  <si>
    <t>Шаговый двигатель NEMA 17 (17HS4401S)</t>
  </si>
  <si>
    <t>Шаговый двигатель Nema34</t>
  </si>
  <si>
    <t>Труба прямоугольная алюминий</t>
  </si>
  <si>
    <t>Микрокомпьютер Raspberry Pi 4 model B 8Gb</t>
  </si>
  <si>
    <t>Контроллер Arduino MEGA 2560</t>
  </si>
  <si>
    <t>Драйвер TMC2209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</si>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</sst>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0" fontId="2" fillId="0" borderId="1" xfId="2" applyBorder="1"/>
    <xf numFmtId="44" fontId="0" fillId="0" borderId="1" xfId="0" applyNumberFormat="1" applyBorder="1"/>
    <xf numFmtId="0" fontId="0" fillId="2" borderId="1" xfId="0" applyFill="1" applyBorder="1"/>
    <xf numFmtId="44" fontId="0" fillId="2" borderId="1" xfId="1" applyFont="1" applyFill="1" applyBorder="1"/>
    <xf numFmtId="44" fontId="0" fillId="2" borderId="1" xfId="0" applyNumberFormat="1" applyFill="1" applyBorder="1"/>
  </cellXfs>
  <cellStyles count="3">
    <cellStyle name="Гиперссылка" xfId="2" builtinId="8"/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zon.ru/product/mikrokompyuter-raspberry-pi-4-model-b-8gb-8-gb-pamyati-rasberi-pay-malina-2812037508/?at=Y7tj2k325iM9mLADTmjKNPGhLKVR62tyZRoxDFOg0gQj" TargetMode="External"/><Relationship Id="rId3" Type="http://schemas.openxmlformats.org/officeDocument/2006/relationships/hyperlink" Target="https://www.ozon.ru/product/servoprivod-sg-90-dlya-arduino-3107049315/?at=K8tZ58vKlskoOQgoC8BZ3RwsgY0mAms6MoPmVSyX5EgD" TargetMode="External"/><Relationship Id="rId7" Type="http://schemas.openxmlformats.org/officeDocument/2006/relationships/hyperlink" Target="https://barnaul.lemanapro.ru/product/truba-pryamougolnaya-alyuminiy-50x20x2x2000-mm-12362367/?utm_referrer=https%3A%2F%2Fbarnaul.lemanapro.ru%2Fsearch%2F%3Fq%3D%25D0%25B0%25D0%25BB%25D1%258E%25D0%25BC%25D0%25B8%25D0%25BD%25D0%25B8%25D0%25B5%25D0%25B2%25D1%258B%25D0%25B5%2B%25D0%25BF%25D1%2580%25D0%25BE%25D1%2584%25D0%25B8%25D0%25BB%25D0%25B8%26suggest%3Dtrue%2600562%3D%25D0%259F%25D1%2580%25D1%258F%25D0%25BC%25D0%25BE%25D1%2583%25D0%25B3%25D0%25BE%25D0%25BB%25D1%258C%25D0%25BD%25D1%258B%25D0%25B9" TargetMode="External"/><Relationship Id="rId2" Type="http://schemas.openxmlformats.org/officeDocument/2006/relationships/hyperlink" Target="https://www.ozon.ru/product/shnur-elastichnyy-3-mm-10-m-chernyy-shlyapnaya-rezinka-1416087586/?at=79tn1ExMvClny546CxN7zVVcVJRRm9UAr9VqpiZnV1w7&amp;from_sku=1416087581&amp;oos_search=false" TargetMode="External"/><Relationship Id="rId1" Type="http://schemas.openxmlformats.org/officeDocument/2006/relationships/hyperlink" Target="https://www.ozon.ru/product/petg-chernyy-plastik-dlya-3d-pechati-nit-1-kg-152869161/?at=XQtkoByA1F8LL6M9u2ok01JHlGKlgXiDloLvRc5LQwNO" TargetMode="External"/><Relationship Id="rId6" Type="http://schemas.openxmlformats.org/officeDocument/2006/relationships/hyperlink" Target="https://www.ozon.ru/product/shagovyy-dvigatel-nema34-5-5a-45kgs-sm-val-14mm-1572669094/?at=57twLg0LAc8V7p8VF61JGMwcp1vxWNFLNYqP6hxEZKJ4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ozon.ru/product/shagovyy-dvigatel-nema-17-17hs4401s-s-razemom-3103460577/?at=qQtJjLPBDcMl8MpmfrE8vnXi3vQJREiy2M1BGSGn1Or2" TargetMode="External"/><Relationship Id="rId10" Type="http://schemas.openxmlformats.org/officeDocument/2006/relationships/hyperlink" Target="https://www.ozon.ru/product/drayver-tmc2209-v1-3-shagovogo-dvigatelya-bigtreetech-897781509/?at=99trERmE8Ip56DNlcG9nNJOt1wQ7QrfzZl42VIjWjoop" TargetMode="External"/><Relationship Id="rId4" Type="http://schemas.openxmlformats.org/officeDocument/2006/relationships/hyperlink" Target="https://www.ozon.ru/product/servoprivod-postoyannogo-vrashcheniya-mg996-13-kg-sm-360-gradusov-upravlenie-skorostyu-1277447175/?at=k2tozY6l7szz1jXVT6GjpEETjrQZRxcRPmYL7HBXE0Rw" TargetMode="External"/><Relationship Id="rId9" Type="http://schemas.openxmlformats.org/officeDocument/2006/relationships/hyperlink" Target="https://www.ozon.ru/product/kontroller-arduino-mega-2560-kabel-ch340g-1613881597/?at=16tLNnpN8uVZ8l7PIyR9KYUvNPDPXS4QN2pDFmk77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D5EC-9C4D-4A8A-8A37-AD6C2B8B0D03}">
  <dimension ref="A1:E12"/>
  <sheetViews>
    <sheetView tabSelected="1" workbookViewId="0">
      <selection activeCell="F16" sqref="F16"/>
    </sheetView>
  </sheetViews>
  <sheetFormatPr defaultRowHeight="14.4" x14ac:dyDescent="0.3"/>
  <cols>
    <col min="1" max="1" width="38.6640625" customWidth="1"/>
    <col min="3" max="3" width="11.5546875" style="1" bestFit="1" customWidth="1"/>
    <col min="5" max="5" width="11.5546875" bestFit="1" customWidth="1"/>
  </cols>
  <sheetData>
    <row r="1" spans="1:5" x14ac:dyDescent="0.3">
      <c r="A1" s="6" t="s">
        <v>0</v>
      </c>
      <c r="B1" s="6" t="s">
        <v>1</v>
      </c>
      <c r="C1" s="7" t="s">
        <v>2</v>
      </c>
      <c r="D1" s="6" t="s">
        <v>4</v>
      </c>
      <c r="E1" s="6" t="s">
        <v>3</v>
      </c>
    </row>
    <row r="2" spans="1:5" x14ac:dyDescent="0.3">
      <c r="A2" s="2" t="s">
        <v>5</v>
      </c>
      <c r="B2" s="2">
        <v>1</v>
      </c>
      <c r="C2" s="3">
        <v>920</v>
      </c>
      <c r="D2" s="4" t="s">
        <v>4</v>
      </c>
      <c r="E2" s="5">
        <f>B2*C2</f>
        <v>920</v>
      </c>
    </row>
    <row r="3" spans="1:5" x14ac:dyDescent="0.3">
      <c r="A3" s="2" t="s">
        <v>6</v>
      </c>
      <c r="B3" s="2">
        <v>1</v>
      </c>
      <c r="C3" s="3">
        <v>187</v>
      </c>
      <c r="D3" s="4" t="s">
        <v>4</v>
      </c>
      <c r="E3" s="5">
        <f>B3*C3</f>
        <v>187</v>
      </c>
    </row>
    <row r="4" spans="1:5" x14ac:dyDescent="0.3">
      <c r="A4" s="2" t="s">
        <v>7</v>
      </c>
      <c r="B4" s="2">
        <v>1</v>
      </c>
      <c r="C4" s="3">
        <v>258</v>
      </c>
      <c r="D4" s="4" t="s">
        <v>4</v>
      </c>
      <c r="E4" s="5">
        <f>B4*C4</f>
        <v>258</v>
      </c>
    </row>
    <row r="5" spans="1:5" x14ac:dyDescent="0.3">
      <c r="A5" s="2" t="s">
        <v>8</v>
      </c>
      <c r="B5" s="2">
        <v>5</v>
      </c>
      <c r="C5" s="3">
        <v>672</v>
      </c>
      <c r="D5" s="4" t="s">
        <v>4</v>
      </c>
      <c r="E5" s="3">
        <f>B5*C5</f>
        <v>3360</v>
      </c>
    </row>
    <row r="6" spans="1:5" x14ac:dyDescent="0.3">
      <c r="A6" s="2" t="s">
        <v>9</v>
      </c>
      <c r="B6" s="2">
        <v>2</v>
      </c>
      <c r="C6" s="3">
        <v>928</v>
      </c>
      <c r="D6" s="4" t="s">
        <v>4</v>
      </c>
      <c r="E6" s="3">
        <f>B6*C6</f>
        <v>1856</v>
      </c>
    </row>
    <row r="7" spans="1:5" x14ac:dyDescent="0.3">
      <c r="A7" s="2" t="s">
        <v>10</v>
      </c>
      <c r="B7" s="2">
        <v>1</v>
      </c>
      <c r="C7" s="3">
        <v>4703</v>
      </c>
      <c r="D7" s="4" t="s">
        <v>4</v>
      </c>
      <c r="E7" s="3">
        <f>B7*C7</f>
        <v>4703</v>
      </c>
    </row>
    <row r="8" spans="1:5" x14ac:dyDescent="0.3">
      <c r="A8" s="2" t="s">
        <v>11</v>
      </c>
      <c r="B8" s="2">
        <v>1</v>
      </c>
      <c r="C8" s="3">
        <v>1754</v>
      </c>
      <c r="D8" s="4" t="s">
        <v>4</v>
      </c>
      <c r="E8" s="3">
        <f>B8*C8</f>
        <v>1754</v>
      </c>
    </row>
    <row r="9" spans="1:5" x14ac:dyDescent="0.3">
      <c r="A9" s="2" t="s">
        <v>12</v>
      </c>
      <c r="B9" s="2">
        <v>1</v>
      </c>
      <c r="C9" s="3">
        <v>10593</v>
      </c>
      <c r="D9" s="4" t="s">
        <v>4</v>
      </c>
      <c r="E9" s="3">
        <f>B9*C9</f>
        <v>10593</v>
      </c>
    </row>
    <row r="10" spans="1:5" x14ac:dyDescent="0.3">
      <c r="A10" s="2" t="s">
        <v>13</v>
      </c>
      <c r="B10" s="2">
        <v>1</v>
      </c>
      <c r="C10" s="3">
        <v>1784</v>
      </c>
      <c r="D10" s="4" t="s">
        <v>4</v>
      </c>
      <c r="E10" s="3">
        <f>B10*C10</f>
        <v>1784</v>
      </c>
    </row>
    <row r="11" spans="1:5" x14ac:dyDescent="0.3">
      <c r="A11" s="2" t="s">
        <v>14</v>
      </c>
      <c r="B11" s="2">
        <v>3</v>
      </c>
      <c r="C11" s="3">
        <v>730</v>
      </c>
      <c r="D11" s="4" t="s">
        <v>4</v>
      </c>
      <c r="E11" s="3">
        <f>B11*C11</f>
        <v>2190</v>
      </c>
    </row>
    <row r="12" spans="1:5" x14ac:dyDescent="0.3">
      <c r="A12" s="2"/>
      <c r="B12" s="2"/>
      <c r="C12" s="3"/>
      <c r="D12" s="6" t="s">
        <v>15</v>
      </c>
      <c r="E12" s="8">
        <f>SUM(E2:E11)</f>
        <v>27605</v>
      </c>
    </row>
  </sheetData>
  <hyperlinks>
    <hyperlink ref="D2" r:id="rId1" xr:uid="{99A7070D-FBD6-491B-8DF7-184211F12C01}"/>
    <hyperlink ref="D3" r:id="rId2" xr:uid="{DB21DE59-0029-45BB-8606-E6CA8FA5572F}"/>
    <hyperlink ref="D4" r:id="rId3" xr:uid="{CFDE51FE-A230-4C94-A2D6-FF10DA9CD2F7}"/>
    <hyperlink ref="D5" r:id="rId4" xr:uid="{1122C8B2-ACB2-4949-A50F-20C26558EB25}"/>
    <hyperlink ref="D6" r:id="rId5" xr:uid="{B208E4D8-9E03-4B20-A85B-6D5FA1A40CD4}"/>
    <hyperlink ref="D7" r:id="rId6" xr:uid="{B0B17447-B805-4343-9436-E0D1A854F285}"/>
    <hyperlink ref="D8" r:id="rId7" xr:uid="{0D028E49-AE2E-4DFD-A2AC-1F96F4613867}"/>
    <hyperlink ref="D9" r:id="rId8" xr:uid="{91519250-D319-4696-ADD0-9A94403001A1}"/>
    <hyperlink ref="D10" r:id="rId9" xr:uid="{145C6EF3-B8EB-491C-94A4-47A5F4CDAB48}"/>
    <hyperlink ref="D11" r:id="rId10" xr:uid="{3672CC65-8C5A-4F76-AE25-2986805C7378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Бобер Гойда</dc:creator>
  <cp:lastModifiedBy>Бобер Гойда</cp:lastModifiedBy>
  <dcterms:created xsi:type="dcterms:W3CDTF">2025-12-14T07:40:50Z</dcterms:created>
  <dcterms:modified xsi:type="dcterms:W3CDTF">2025-12-14T08:11:59Z</dcterms:modified>
</cp:coreProperties>
</file>